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aclaux_uw_edu/Documents/2024 - 2025 Academic Year/Winter 2025/M E 354 (MoM Lab)/"/>
    </mc:Choice>
  </mc:AlternateContent>
  <xr:revisionPtr revIDLastSave="288" documentId="8_{194D6925-37E5-4A9C-9B6F-FEA3637C6A6E}" xr6:coauthVersionLast="47" xr6:coauthVersionMax="47" xr10:uidLastSave="{A4594F32-B275-4982-8C37-B4C4A4031361}"/>
  <bookViews>
    <workbookView xWindow="-110" yWindow="-110" windowWidth="22780" windowHeight="14540" xr2:uid="{CA425D07-BE5A-480C-A371-63936BE90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5" i="1"/>
  <c r="C24" i="1"/>
  <c r="C25" i="1"/>
  <c r="C18" i="1"/>
  <c r="D18" i="1"/>
  <c r="C19" i="1"/>
  <c r="D19" i="1"/>
  <c r="E19" i="1"/>
  <c r="F19" i="1" s="1"/>
  <c r="H19" i="1"/>
  <c r="C20" i="1"/>
  <c r="D20" i="1"/>
  <c r="C21" i="1"/>
  <c r="D21" i="1"/>
  <c r="C22" i="1"/>
  <c r="H22" i="1" s="1"/>
  <c r="D22" i="1"/>
  <c r="E22" i="1"/>
  <c r="F22" i="1" s="1"/>
  <c r="E10" i="1"/>
  <c r="F10" i="1" s="1"/>
  <c r="H10" i="1"/>
  <c r="H11" i="1"/>
  <c r="H12" i="1"/>
  <c r="H13" i="1"/>
  <c r="H14" i="1"/>
  <c r="D10" i="1"/>
  <c r="D11" i="1"/>
  <c r="D12" i="1"/>
  <c r="D13" i="1"/>
  <c r="D14" i="1"/>
  <c r="C10" i="1"/>
  <c r="C11" i="1"/>
  <c r="E11" i="1" s="1"/>
  <c r="F11" i="1" s="1"/>
  <c r="C12" i="1"/>
  <c r="E12" i="1" s="1"/>
  <c r="F12" i="1" s="1"/>
  <c r="C13" i="1"/>
  <c r="E13" i="1" s="1"/>
  <c r="F13" i="1" s="1"/>
  <c r="C14" i="1"/>
  <c r="E14" i="1" s="1"/>
  <c r="F14" i="1" s="1"/>
  <c r="E18" i="1" l="1"/>
  <c r="F18" i="1" s="1"/>
  <c r="E21" i="1"/>
  <c r="F21" i="1" s="1"/>
  <c r="H18" i="1"/>
  <c r="H21" i="1"/>
  <c r="E20" i="1"/>
  <c r="F20" i="1" s="1"/>
  <c r="H20" i="1"/>
</calcChain>
</file>

<file path=xl/sharedStrings.xml><?xml version="1.0" encoding="utf-8"?>
<sst xmlns="http://schemas.openxmlformats.org/spreadsheetml/2006/main" count="27" uniqueCount="17">
  <si>
    <t>Unsupported Length (mm)</t>
  </si>
  <si>
    <t>Diameter (mm)</t>
  </si>
  <si>
    <t>Area (mm^2)</t>
  </si>
  <si>
    <t>Area Moment of Inertia (mm^4)</t>
  </si>
  <si>
    <t>Slenderness</t>
  </si>
  <si>
    <t>Euler Buckling stress (MPa)</t>
  </si>
  <si>
    <t>Experimental peak stress (N)</t>
  </si>
  <si>
    <t>Area</t>
  </si>
  <si>
    <t>Length (mm)</t>
  </si>
  <si>
    <t>Area Moment of Inertia</t>
  </si>
  <si>
    <t>Peak Load (N)</t>
  </si>
  <si>
    <t>Peak Stress (MPa)</t>
  </si>
  <si>
    <t>Euler Buckling Stress (MPa)</t>
  </si>
  <si>
    <t>Al E</t>
  </si>
  <si>
    <t>68.947 GPa</t>
  </si>
  <si>
    <r>
      <rPr>
        <b/>
        <sz val="11"/>
        <color theme="1"/>
        <rFont val="Aptos Narrow"/>
        <family val="2"/>
        <scheme val="minor"/>
      </rPr>
      <t>Table W1:</t>
    </r>
    <r>
      <rPr>
        <sz val="11"/>
        <color theme="1"/>
        <rFont val="Aptos Narrow"/>
        <family val="2"/>
        <scheme val="minor"/>
      </rPr>
      <t xml:space="preserve"> 6061-T6 Aluminium Buckling Data</t>
    </r>
  </si>
  <si>
    <r>
      <t>Table W2:</t>
    </r>
    <r>
      <rPr>
        <sz val="11"/>
        <color theme="1"/>
        <rFont val="Aptos Narrow"/>
        <family val="2"/>
        <scheme val="minor"/>
      </rPr>
      <t xml:space="preserve"> A36 Steel Buckling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</si>
</sst>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6061-T6 Aluminium Stress</a:t>
            </a:r>
            <a:r>
              <a:rPr lang="en-US" baseline="0"/>
              <a:t> Given Slenderness of Specimen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Sheet1!$H$9</c:f>
              <c:strCache>
                <c:ptCount val="1"/>
                <c:pt idx="0">
                  <c:v>Peak Stress (MPa)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Sheet1!$E$10:$E$14</c:f>
              <c:numCache>
                <c:formatCode>General</c:formatCode>
                <c:ptCount val="5"/>
                <c:pt idx="0">
                  <c:v>28.526645751726871</c:v>
                </c:pt>
                <c:pt idx="1">
                  <c:v>88.692913335153605</c:v>
                </c:pt>
                <c:pt idx="2">
                  <c:v>151.69811312087705</c:v>
                </c:pt>
                <c:pt idx="3">
                  <c:v>214.25431698904944</c:v>
                </c:pt>
                <c:pt idx="4">
                  <c:v>314.25867489931807</c:v>
                </c:pt>
              </c:numCache>
            </c:numRef>
          </c:xVal>
          <c:yVal>
            <c:numRef>
              <c:f>Sheet1!$H$10:$H$14</c:f>
              <c:numCache>
                <c:formatCode>General</c:formatCode>
                <c:ptCount val="5"/>
                <c:pt idx="0">
                  <c:v>303.55520685771415</c:v>
                </c:pt>
                <c:pt idx="1">
                  <c:v>300.66253129997511</c:v>
                </c:pt>
                <c:pt idx="2">
                  <c:v>136.99372006867964</c:v>
                </c:pt>
                <c:pt idx="3">
                  <c:v>66.458885794560999</c:v>
                </c:pt>
                <c:pt idx="4">
                  <c:v>26.911823885920565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5-4535-A42F-536647D9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131600"/>
        <c:axId val="1047129680"/>
      </c:scatterChart>
      <c:valAx>
        <c:axId val="104713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Slenderness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29680"/>
        <c:crosses val="autoZero"/>
        <c:crossBetween val="midCat"/>
      </c:valAx>
      <c:valAx>
        <c:axId val="10471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3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A36 Steel Stress Given Slenderness of Specimen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Sheet1!$E$18:$E$22</c:f>
              <c:numCache>
                <c:formatCode>General</c:formatCode>
                <c:ptCount val="5"/>
                <c:pt idx="0">
                  <c:v>29.490445843023753</c:v>
                </c:pt>
                <c:pt idx="1">
                  <c:v>89.445324830038004</c:v>
                </c:pt>
                <c:pt idx="2">
                  <c:v>152.06349197661319</c:v>
                </c:pt>
                <c:pt idx="3">
                  <c:v>217.36089017788137</c:v>
                </c:pt>
                <c:pt idx="4">
                  <c:v>315.89257485901464</c:v>
                </c:pt>
              </c:numCache>
            </c:numRef>
          </c:xVal>
          <c:yVal>
            <c:numRef>
              <c:f>Sheet1!$H$18:$H$22</c:f>
              <c:numCache>
                <c:formatCode>General</c:formatCode>
                <c:ptCount val="5"/>
                <c:pt idx="0">
                  <c:v>706.53452804296717</c:v>
                </c:pt>
                <c:pt idx="1">
                  <c:v>570.17736814818852</c:v>
                </c:pt>
                <c:pt idx="2">
                  <c:v>360.44970650541001</c:v>
                </c:pt>
                <c:pt idx="3">
                  <c:v>184.38080511230223</c:v>
                </c:pt>
                <c:pt idx="4">
                  <c:v>98.18438163558919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540-4907-954B-E7DD4D9C3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798151"/>
        <c:axId val="1817808903"/>
      </c:scatterChart>
      <c:valAx>
        <c:axId val="1817798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Slenderness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808903"/>
        <c:crosses val="autoZero"/>
        <c:crossBetween val="midCat"/>
      </c:valAx>
      <c:valAx>
        <c:axId val="181780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Peak 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798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282575</xdr:colOff>
      <xdr:row>0</xdr:row>
      <xdr:rowOff>406400</xdr:rowOff>
    </xdr:from>
    <xdr:to>
      <xdr:col>16</xdr:col>
      <xdr:colOff>473075</xdr:colOff>
      <xdr:row>12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D6EBD7A-C0C5-00BB-A6EC-58206CFC1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13</xdr:row>
      <xdr:rowOff>38101</xdr:rowOff>
    </xdr:from>
    <xdr:to>
      <xdr:col>16</xdr:col>
      <xdr:colOff>482600</xdr:colOff>
      <xdr:row>25</xdr:row>
      <xdr:rowOff>12700</xdr:rowOff>
    </xdr:to>
    <xdr:graphicFrame macro="">
      <xdr:nvGraphicFramePr>
        <xdr:cNvPr id="25" name="Chart 7">
          <a:extLst>
            <a:ext uri="{FF2B5EF4-FFF2-40B4-BE49-F238E27FC236}">
              <a16:creationId xmlns:a16="http://schemas.microsoft.com/office/drawing/2014/main" id="{084089D5-3BF6-1FE7-112C-4B790DF8FCC8}"/>
            </a:ext>
            <a:ext uri="{147F2762-F138-4A5C-976F-8EAC2B608ADB}">
              <a16:predDERef xmlns:a16="http://schemas.microsoft.com/office/drawing/2014/main" pred="{DD6EBD7A-C0C5-00BB-A6EC-58206CFC1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23FEC-313A-4BA8-8E6F-DEEEE5D6872B}" name="Table1" displayName="Table1" ref="A9:H14" totalsRowShown="0">
  <autoFilter ref="A9:H14" xr:uid="{9B923FEC-313A-4BA8-8E6F-DEEEE5D687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66767AF-8C01-49A1-BBE5-E5832DF367B6}" name="Length (mm)"/>
    <tableColumn id="2" xr3:uid="{155FC9DE-1A70-4347-909B-0E75408A5498}" name="Diameter (mm)"/>
    <tableColumn id="3" xr3:uid="{B67CC65E-7C9E-4D42-A063-E265C17634A8}" name="Area" dataDxfId="9">
      <calculatedColumnFormula xml:space="preserve"> 3.14159265 * (B10 * 0.5)^2</calculatedColumnFormula>
    </tableColumn>
    <tableColumn id="4" xr3:uid="{F9FF382E-69D4-41C0-BDC1-BAC7AA7894AD}" name="Area Moment of Inertia" dataDxfId="8">
      <calculatedColumnFormula>3.14159265358979*(B10/2)^4/4</calculatedColumnFormula>
    </tableColumn>
    <tableColumn id="5" xr3:uid="{630F1D42-DD85-4655-9D05-44919930D588}" name="Slenderness" dataDxfId="7">
      <calculatedColumnFormula>SQRT((C10 * (A10)^2)/(D10))</calculatedColumnFormula>
    </tableColumn>
    <tableColumn id="6" xr3:uid="{E715E6A1-CFE0-4BAF-900C-311BB16D8107}" name="Euler Buckling Stress (MPa)" dataDxfId="6">
      <calculatedColumnFormula>(((3.1415926535897)^2 * 68.947*10^9)/((0.5 * E10)^2))/1000000</calculatedColumnFormula>
    </tableColumn>
    <tableColumn id="7" xr3:uid="{6CE759BC-A7DD-4F50-9A0F-BC8E3DE79031}" name="Peak Load (N)"/>
    <tableColumn id="16" xr3:uid="{702C2939-2C01-454E-8C31-1EE36EB01351}" name="Peak Stress (MPa)" dataDxfId="5">
      <calculatedColumnFormula>G10/C10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229A8-30FA-4FE0-9EBB-508590BBE1B5}" name="Table13" displayName="Table13" ref="A17:H22" totalsRowShown="0">
  <autoFilter ref="A17:H22" xr:uid="{990229A8-30FA-4FE0-9EBB-508590BBE1B5}"/>
  <tableColumns count="8">
    <tableColumn id="1" xr3:uid="{03DB332F-F823-46B7-9FD7-4F0B7A4A3F01}" name="Length (mm)"/>
    <tableColumn id="2" xr3:uid="{9F437AD0-ABC4-4203-A16E-6D24C297A980}" name="Diameter (mm)"/>
    <tableColumn id="3" xr3:uid="{F9C48509-6CFC-4924-8645-4A393C9EAEB4}" name="Area" dataDxfId="4">
      <calculatedColumnFormula xml:space="preserve"> 3.14159265 * (B18 * 0.5)^2</calculatedColumnFormula>
    </tableColumn>
    <tableColumn id="4" xr3:uid="{8F07B330-B2E9-4C8D-B993-242F7639A4A5}" name="Area Moment of Inertia" dataDxfId="3">
      <calculatedColumnFormula>3.14159265358979*(B18/2)^4/4</calculatedColumnFormula>
    </tableColumn>
    <tableColumn id="5" xr3:uid="{3E006212-E8B4-43A6-9586-2204CF805E0C}" name="Slenderness" dataDxfId="2">
      <calculatedColumnFormula>SQRT((C18 * (A18)^2)/(D18))</calculatedColumnFormula>
    </tableColumn>
    <tableColumn id="6" xr3:uid="{5CF10031-FBB0-4977-91EF-20C74B0ED5EB}" name="Euler Buckling Stress (MPa)" dataDxfId="1">
      <calculatedColumnFormula>(((3.1415926535897)^2 * 200*10^9)/((0.5 * E18)^2))/1000000</calculatedColumnFormula>
    </tableColumn>
    <tableColumn id="7" xr3:uid="{9DEC9049-B3F9-4DA2-9518-75D74C6E2156}" name="Peak Load (N)"/>
    <tableColumn id="16" xr3:uid="{9FBFC832-E1D4-4B70-A510-5FEEB4F82B9F}" name="Peak Stress (MPa)" dataDxfId="0">
      <calculatedColumnFormula>G18/C18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AD50-2FDE-46ED-AD09-567A6D57B237}">
  <dimension ref="A1:I25"/>
  <sheetViews>
    <sheetView tabSelected="1" topLeftCell="G1" workbookViewId="0">
      <selection activeCell="P31" sqref="P31"/>
    </sheetView>
  </sheetViews>
  <sheetFormatPr defaultRowHeight="14.5" x14ac:dyDescent="0.35"/>
  <cols>
    <col min="1" max="1" width="10.453125" bestFit="1" customWidth="1"/>
    <col min="2" max="3" width="11" customWidth="1"/>
    <col min="4" max="4" width="13" customWidth="1"/>
    <col min="5" max="5" width="12.453125" customWidth="1"/>
    <col min="6" max="6" width="13" customWidth="1"/>
    <col min="7" max="7" width="12.54296875" bestFit="1" customWidth="1"/>
    <col min="8" max="8" width="13.7265625" customWidth="1"/>
    <col min="10" max="10" width="10.81640625" bestFit="1" customWidth="1"/>
  </cols>
  <sheetData>
    <row r="1" spans="1:9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15" thickBot="1" x14ac:dyDescent="0.4">
      <c r="A2" s="3">
        <v>45.5</v>
      </c>
      <c r="B2" s="4">
        <v>6.38</v>
      </c>
      <c r="C2" s="4"/>
      <c r="D2" s="4"/>
      <c r="E2" s="4"/>
      <c r="F2" s="4"/>
      <c r="G2" s="4">
        <v>9704.4052699999993</v>
      </c>
      <c r="I2" t="s">
        <v>13</v>
      </c>
    </row>
    <row r="3" spans="1:9" ht="15" thickBot="1" x14ac:dyDescent="0.4">
      <c r="A3" s="3">
        <v>140.80000000000001</v>
      </c>
      <c r="B3" s="4">
        <v>6.35</v>
      </c>
      <c r="C3" s="4"/>
      <c r="D3" s="4"/>
      <c r="E3" s="4"/>
      <c r="F3" s="4"/>
      <c r="G3" s="4">
        <v>9521.7470699999994</v>
      </c>
      <c r="I3" t="s">
        <v>14</v>
      </c>
    </row>
    <row r="4" spans="1:9" ht="15" thickBot="1" x14ac:dyDescent="0.4">
      <c r="A4" s="3">
        <v>241.2</v>
      </c>
      <c r="B4" s="4">
        <v>6.36</v>
      </c>
      <c r="C4" s="4"/>
      <c r="D4" s="4"/>
      <c r="E4" s="4"/>
      <c r="F4" s="4"/>
      <c r="G4" s="4">
        <v>4352.1591799999997</v>
      </c>
    </row>
    <row r="5" spans="1:9" ht="15" thickBot="1" x14ac:dyDescent="0.4">
      <c r="A5" s="3">
        <v>341.2</v>
      </c>
      <c r="B5" s="4">
        <v>6.37</v>
      </c>
      <c r="C5" s="4"/>
      <c r="D5" s="4"/>
      <c r="E5" s="4"/>
      <c r="F5" s="4"/>
      <c r="G5" s="4">
        <v>2117.9797400000002</v>
      </c>
    </row>
    <row r="6" spans="1:9" ht="15" thickBot="1" x14ac:dyDescent="0.4">
      <c r="A6" s="3">
        <v>498.1</v>
      </c>
      <c r="B6" s="4">
        <v>6.34</v>
      </c>
      <c r="C6" s="4"/>
      <c r="D6" s="4"/>
      <c r="E6" s="4"/>
      <c r="F6" s="4"/>
      <c r="G6" s="4">
        <v>849.59418000000005</v>
      </c>
    </row>
    <row r="8" spans="1:9" x14ac:dyDescent="0.35">
      <c r="A8" t="s">
        <v>15</v>
      </c>
    </row>
    <row r="9" spans="1:9" ht="29" x14ac:dyDescent="0.35">
      <c r="A9" s="5" t="s">
        <v>8</v>
      </c>
      <c r="B9" s="5" t="s">
        <v>1</v>
      </c>
      <c r="C9" t="s">
        <v>7</v>
      </c>
      <c r="D9" s="5" t="s">
        <v>9</v>
      </c>
      <c r="E9" s="5" t="s">
        <v>4</v>
      </c>
      <c r="F9" s="5" t="s">
        <v>12</v>
      </c>
      <c r="G9" t="s">
        <v>10</v>
      </c>
      <c r="H9" s="5" t="s">
        <v>11</v>
      </c>
    </row>
    <row r="10" spans="1:9" x14ac:dyDescent="0.35">
      <c r="A10">
        <v>45.5</v>
      </c>
      <c r="B10">
        <v>6.38</v>
      </c>
      <c r="C10">
        <f t="shared" ref="C10:C14" si="0" xml:space="preserve"> 3.14159265 * (B10 * 0.5)^2</f>
        <v>31.969160965665001</v>
      </c>
      <c r="D10" s="5">
        <f>3.14159265358979*(B10/2)^4/4</f>
        <v>81.330344818609291</v>
      </c>
      <c r="E10">
        <f t="shared" ref="E10:E14" si="1">SQRT((C10 * (A10)^2)/(D10))</f>
        <v>28.526645751726871</v>
      </c>
      <c r="F10">
        <f t="shared" ref="F10:F14" si="2">(((3.1415926535897)^2 * 68.947*10^9)/((0.5 * E10)^2))/1000000</f>
        <v>3344.8272500759053</v>
      </c>
      <c r="G10">
        <v>9704.4052699999993</v>
      </c>
      <c r="H10">
        <f>G10/C10</f>
        <v>303.55520685771415</v>
      </c>
    </row>
    <row r="11" spans="1:9" x14ac:dyDescent="0.35">
      <c r="A11">
        <v>140.80000000000001</v>
      </c>
      <c r="B11">
        <v>6.35</v>
      </c>
      <c r="C11">
        <f t="shared" si="0"/>
        <v>31.669217407406251</v>
      </c>
      <c r="D11" s="5">
        <f>3.14159265358979*(B11/2)^4/4</f>
        <v>79.811376273081365</v>
      </c>
      <c r="E11">
        <f t="shared" si="1"/>
        <v>88.692913335153605</v>
      </c>
      <c r="F11">
        <f t="shared" si="2"/>
        <v>346.01686704966511</v>
      </c>
      <c r="G11">
        <v>9521.7470699999994</v>
      </c>
      <c r="H11">
        <f>G11/C11</f>
        <v>300.66253129997511</v>
      </c>
    </row>
    <row r="12" spans="1:9" x14ac:dyDescent="0.35">
      <c r="A12">
        <v>241.2</v>
      </c>
      <c r="B12">
        <v>6.36</v>
      </c>
      <c r="C12">
        <f t="shared" si="0"/>
        <v>31.769041513860007</v>
      </c>
      <c r="D12" s="5">
        <f>3.14159265358979*(B12/2)^4/4</f>
        <v>80.31531394296303</v>
      </c>
      <c r="E12">
        <f t="shared" si="1"/>
        <v>151.69811312087705</v>
      </c>
      <c r="F12">
        <f t="shared" si="2"/>
        <v>118.28093609769401</v>
      </c>
      <c r="G12">
        <v>4352.1591799999997</v>
      </c>
      <c r="H12">
        <f>G12/C12</f>
        <v>136.99372006867964</v>
      </c>
    </row>
    <row r="13" spans="1:9" x14ac:dyDescent="0.35">
      <c r="A13">
        <v>341.2</v>
      </c>
      <c r="B13">
        <v>6.37</v>
      </c>
      <c r="C13">
        <f t="shared" si="0"/>
        <v>31.869022699946253</v>
      </c>
      <c r="D13" s="5">
        <f>3.14159265358979*(B13/2)^4/4</f>
        <v>80.821634291942672</v>
      </c>
      <c r="E13">
        <f t="shared" si="1"/>
        <v>214.25431698904944</v>
      </c>
      <c r="F13">
        <f t="shared" si="2"/>
        <v>59.294709853851366</v>
      </c>
      <c r="G13">
        <v>2117.9797400000002</v>
      </c>
      <c r="H13">
        <f>G13/C13</f>
        <v>66.458885794560999</v>
      </c>
    </row>
    <row r="14" spans="1:9" x14ac:dyDescent="0.35">
      <c r="A14">
        <v>498.1</v>
      </c>
      <c r="B14">
        <v>6.34</v>
      </c>
      <c r="C14">
        <f t="shared" si="0"/>
        <v>31.569550380585</v>
      </c>
      <c r="D14" s="5">
        <f>3.14159265358979*(B14/2)^4/4</f>
        <v>79.309813795489745</v>
      </c>
      <c r="E14">
        <f t="shared" si="1"/>
        <v>314.25867489931807</v>
      </c>
      <c r="F14">
        <f t="shared" si="2"/>
        <v>27.561354739611776</v>
      </c>
      <c r="G14">
        <v>849.59418000000005</v>
      </c>
      <c r="H14">
        <f>G14/C14</f>
        <v>26.911823885920565</v>
      </c>
    </row>
    <row r="16" spans="1:9" x14ac:dyDescent="0.35">
      <c r="A16" s="6" t="s">
        <v>16</v>
      </c>
    </row>
    <row r="17" spans="1:8" ht="29" x14ac:dyDescent="0.35">
      <c r="A17" s="5" t="s">
        <v>8</v>
      </c>
      <c r="B17" s="5" t="s">
        <v>1</v>
      </c>
      <c r="C17" t="s">
        <v>7</v>
      </c>
      <c r="D17" s="5" t="s">
        <v>9</v>
      </c>
      <c r="E17" s="5" t="s">
        <v>4</v>
      </c>
      <c r="F17" s="5" t="s">
        <v>12</v>
      </c>
      <c r="G17" t="s">
        <v>10</v>
      </c>
      <c r="H17" s="5" t="s">
        <v>11</v>
      </c>
    </row>
    <row r="18" spans="1:8" x14ac:dyDescent="0.35">
      <c r="A18">
        <v>46.3</v>
      </c>
      <c r="B18">
        <v>6.28</v>
      </c>
      <c r="C18">
        <f xml:space="preserve"> 3.14159265 * (B18 * 0.5)^2</f>
        <v>30.974846891940004</v>
      </c>
      <c r="D18" s="5">
        <f>3.14159265358979*(B18/2)^4/4</f>
        <v>76.349900191185313</v>
      </c>
      <c r="E18">
        <f>SQRT((C18 * (A18)^2)/(D18))</f>
        <v>29.490445843023753</v>
      </c>
      <c r="F18">
        <f>(((3.1415926535897)^2 * 200*10^9)/((0.5 * E18)^2))/1000000</f>
        <v>9078.7708730430277</v>
      </c>
      <c r="G18">
        <v>21884.79883</v>
      </c>
      <c r="H18">
        <f>G18/C18</f>
        <v>706.53452804296717</v>
      </c>
    </row>
    <row r="19" spans="1:8" x14ac:dyDescent="0.35">
      <c r="A19">
        <v>141.1</v>
      </c>
      <c r="B19">
        <v>6.31</v>
      </c>
      <c r="C19">
        <f xml:space="preserve"> 3.14159265 * (B19 * 0.5)^2</f>
        <v>31.271491777916246</v>
      </c>
      <c r="D19" s="5">
        <f>3.14159265358979*(B19/2)^4/4</f>
        <v>77.819302825089608</v>
      </c>
      <c r="E19">
        <f>SQRT((C19 * (A19)^2)/(D19))</f>
        <v>89.445324830038004</v>
      </c>
      <c r="F19">
        <f>(((3.1415926535897)^2 * 200*10^9)/((0.5 * E19)^2))/1000000</f>
        <v>986.9029364882457</v>
      </c>
      <c r="G19">
        <v>17830.296880000002</v>
      </c>
      <c r="H19">
        <f>G19/C19</f>
        <v>570.17736814818852</v>
      </c>
    </row>
    <row r="20" spans="1:8" x14ac:dyDescent="0.35">
      <c r="A20">
        <v>239.5</v>
      </c>
      <c r="B20">
        <v>6.3</v>
      </c>
      <c r="C20">
        <f xml:space="preserve"> 3.14159265 * (B20 * 0.5)^2</f>
        <v>31.172453069625</v>
      </c>
      <c r="D20" s="5">
        <f>3.14159265358979*(B20/2)^4/4</f>
        <v>77.327166484197605</v>
      </c>
      <c r="E20">
        <f>SQRT((C20 * (A20)^2)/(D20))</f>
        <v>152.06349197661319</v>
      </c>
      <c r="F20">
        <f>(((3.1415926535897)^2 * 200*10^9)/((0.5 * E20)^2))/1000000</f>
        <v>341.45998241536921</v>
      </c>
      <c r="G20">
        <v>11236.101559999999</v>
      </c>
      <c r="H20">
        <f>G20/C20</f>
        <v>360.44970650541001</v>
      </c>
    </row>
    <row r="21" spans="1:8" x14ac:dyDescent="0.35">
      <c r="A21">
        <v>341.8</v>
      </c>
      <c r="B21">
        <v>6.29</v>
      </c>
      <c r="C21">
        <f xml:space="preserve"> 3.14159265 * (B21 * 0.5)^2</f>
        <v>31.073571440966255</v>
      </c>
      <c r="D21" s="5">
        <f>3.14159265358979*(B21/2)^4/4</f>
        <v>76.837368078270231</v>
      </c>
      <c r="E21">
        <f>SQRT((C21 * (A21)^2)/(D21))</f>
        <v>217.36089017788137</v>
      </c>
      <c r="F21">
        <f>(((3.1415926535897)^2 * 200*10^9)/((0.5 * E21)^2))/1000000</f>
        <v>167.11942177667925</v>
      </c>
      <c r="G21">
        <v>5729.3701199999996</v>
      </c>
      <c r="H21">
        <f>G21/C21</f>
        <v>184.38080511230223</v>
      </c>
    </row>
    <row r="22" spans="1:8" x14ac:dyDescent="0.35">
      <c r="A22">
        <v>499.9</v>
      </c>
      <c r="B22">
        <v>6.33</v>
      </c>
      <c r="C22">
        <f xml:space="preserve"> 3.14159265 * (B22 * 0.5)^2</f>
        <v>31.470040433396253</v>
      </c>
      <c r="D22" s="5">
        <f>3.14159265358979*(B22/2)^4/4</f>
        <v>78.810619035161125</v>
      </c>
      <c r="E22">
        <f>SQRT((C22 * (A22)^2)/(D22))</f>
        <v>315.89257485901464</v>
      </c>
      <c r="F22">
        <f>(((3.1415926535897)^2 * 200*10^9)/((0.5 * E22)^2))/1000000</f>
        <v>79.124485076785177</v>
      </c>
      <c r="G22">
        <v>3089.8664600000002</v>
      </c>
      <c r="H22">
        <f>G22/C22</f>
        <v>98.18438163558919</v>
      </c>
    </row>
    <row r="24" spans="1:8" x14ac:dyDescent="0.35">
      <c r="C24">
        <f>AVERAGE(Table1[Area])</f>
        <v>31.769198593492501</v>
      </c>
      <c r="D24">
        <f>AVERAGE(Table1[Area Moment of Inertia])</f>
        <v>80.317696624417223</v>
      </c>
    </row>
    <row r="25" spans="1:8" x14ac:dyDescent="0.35">
      <c r="C25">
        <f>AVERAGE(Table13[Area])</f>
        <v>31.192480722768757</v>
      </c>
      <c r="D25">
        <f>AVERAGE(Table13[Area Moment of Inertia])</f>
        <v>77.428871322780793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 Claux</dc:creator>
  <cp:lastModifiedBy>Alexandre A Claux</cp:lastModifiedBy>
  <dcterms:created xsi:type="dcterms:W3CDTF">2025-03-12T01:00:57Z</dcterms:created>
  <dcterms:modified xsi:type="dcterms:W3CDTF">2025-12-04T06:04:34Z</dcterms:modified>
</cp:coreProperties>
</file>